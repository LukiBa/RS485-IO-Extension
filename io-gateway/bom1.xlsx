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ject\RS485-IO-Extension\io-gateway\"/>
    </mc:Choice>
  </mc:AlternateContent>
  <bookViews>
    <workbookView xWindow="-4800" yWindow="-2340" windowWidth="38640" windowHeight="21120"/>
  </bookViews>
  <sheets>
    <sheet name="bom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  <c r="I49" i="1"/>
  <c r="I48" i="1"/>
  <c r="I47" i="1"/>
  <c r="I10" i="1"/>
  <c r="I3" i="1"/>
  <c r="I4" i="1"/>
  <c r="I5" i="1"/>
  <c r="I6" i="1"/>
  <c r="I7" i="1"/>
  <c r="I8" i="1"/>
  <c r="I9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  <c r="I51" i="1" l="1"/>
  <c r="I52" i="1" s="1"/>
</calcChain>
</file>

<file path=xl/sharedStrings.xml><?xml version="1.0" encoding="utf-8"?>
<sst xmlns="http://schemas.openxmlformats.org/spreadsheetml/2006/main" count="199" uniqueCount="167">
  <si>
    <t>Id</t>
  </si>
  <si>
    <t>Designator</t>
  </si>
  <si>
    <t>Footprint</t>
  </si>
  <si>
    <t>Quantity</t>
  </si>
  <si>
    <t>Designation</t>
  </si>
  <si>
    <t xml:space="preserve"> Unit Price </t>
  </si>
  <si>
    <t>Quantitiy for 10 Pics</t>
  </si>
  <si>
    <t xml:space="preserve"> Overall Price </t>
  </si>
  <si>
    <t>Mouser link</t>
  </si>
  <si>
    <t>C_DIMA_2,C_DIMA_18,C_DIMA_34,C_DIMB_17,C_DIMB_1,C_DIMA_26,C_DIMA_33,C_DIMA_17,C_DIMB_34,C_DIMB_2,C_DIMB_26,C_DIMA_1,C_DIMA_25,C38,C_DIMB_25,C_DIMB_18,C_DIMB_33</t>
  </si>
  <si>
    <t>C_1210_3225Metric</t>
  </si>
  <si>
    <t>GRM32EC72A106ME05K Murata Electronics | Mouser Österreich</t>
  </si>
  <si>
    <t>D_DIMB_1,D_DIMA_7,D_DIMB_7,D_DIMA_9,D_DIMA_5,D_DIMB_5,D_DIMB_9,D_DIMA_1</t>
  </si>
  <si>
    <t>D_SMB</t>
  </si>
  <si>
    <t>STPS3L60UF STMicroelectronics | Mouser Österreich</t>
  </si>
  <si>
    <t>K9,K7,K8,K4,K3,K6,K2,K5,K1</t>
  </si>
  <si>
    <t>2071556-2</t>
  </si>
  <si>
    <t>2071556-2 TE Connectivity | Mouser Österreich</t>
  </si>
  <si>
    <t>D1</t>
  </si>
  <si>
    <t>DIOM5436X244N</t>
  </si>
  <si>
    <t>SMBJ28A</t>
  </si>
  <si>
    <t>SMBJ28A Bourns | Mouser Österreich</t>
  </si>
  <si>
    <t>C44</t>
  </si>
  <si>
    <t>CP_Elec_6.3x5.4</t>
  </si>
  <si>
    <t>Auf Lager</t>
  </si>
  <si>
    <t>C_DIMA_7,C_DIMB_23,C_DIMA_39,C_DIMB_31,C_DIMB_39,C_DIMB_7,C_DIMA_23,C_DIMA_31</t>
  </si>
  <si>
    <t>C_1206_3216Metric</t>
  </si>
  <si>
    <t>CL31B105KCHNNNE Samsung Electro-Mechanics | Mouser Österreich</t>
  </si>
  <si>
    <t>J1,J3,J2</t>
  </si>
  <si>
    <t>1311011 Phoenix Contact | Boxes, Enclosures, Racks | DigiKey</t>
  </si>
  <si>
    <t>D_K8,D_F1,D_K7,D_K1,D_K9,D_K3,D_K4,D_K2,D_K6,D_K5</t>
  </si>
  <si>
    <t>D_SOD-123</t>
  </si>
  <si>
    <t>MMSD914</t>
  </si>
  <si>
    <t>D_DIMA_2,D_DIMA_8,D_DIMB_2,D_DIMB_6,D_DIMB_10,D_DIMB_8,D_DIMA_6,D_DIMA_10</t>
  </si>
  <si>
    <t>https://www.mouser.at/ProductDetail/863-MMSZ39T1G</t>
  </si>
  <si>
    <t>C_DIMA_5,C_DIMA_37,C_DIMA_29,C_DIMB_21,C_DIMB_29,C_DIMB_37,C_DIMB_5,C_DIMA_21</t>
  </si>
  <si>
    <t>C_0603_1608Metric</t>
  </si>
  <si>
    <t>22pF</t>
  </si>
  <si>
    <t>06035C220JAT2A KYOCERA AVX | Mouser Österreich</t>
  </si>
  <si>
    <t>J5,J7,J4,J13,J10,J12,J11,J9,J8</t>
  </si>
  <si>
    <t>TerminalBlock_MaiXu_MX126-5.0-02P_1x02_P5.00mm</t>
  </si>
  <si>
    <t>1-282836-3 TE Connectivity | Mouser Österreich</t>
  </si>
  <si>
    <t>L_DIMB_5,L_DIMB_4,L_DIMB_1,L_DIMA_1,L_DIMA_4,L_DIMA_3,L_DIMA_5,L_DIMB_3</t>
  </si>
  <si>
    <t>L_12x12mm_H8mm</t>
  </si>
  <si>
    <t>IFDC5050JZER470M Vishay / Dale | Mouser Österreich</t>
  </si>
  <si>
    <t>U5</t>
  </si>
  <si>
    <t>SOT-23-5</t>
  </si>
  <si>
    <t>SN6501DBVR</t>
  </si>
  <si>
    <t>SN6501DBVR Texas Instruments | Mouser Österreich</t>
  </si>
  <si>
    <t>F1</t>
  </si>
  <si>
    <t>Fuse_0603_1608Metric</t>
  </si>
  <si>
    <t>Fuse</t>
  </si>
  <si>
    <t>0ABB-1000-TM Bel Fuse | Mouser Österreich</t>
  </si>
  <si>
    <t>C1,C9,C3,C8,C5</t>
  </si>
  <si>
    <t>100nF</t>
  </si>
  <si>
    <t>R29,R31</t>
  </si>
  <si>
    <t>R_0603_1608Metric</t>
  </si>
  <si>
    <t>100k</t>
  </si>
  <si>
    <t>R_DIMB_2,R_DIMA_2,R_DIMB_6,R_DIMA_6,R_DIMA_8,R_DIMB_10,R_DIMB_8,R_DIMA_10</t>
  </si>
  <si>
    <t>47k</t>
  </si>
  <si>
    <t>CRCW060347K0JNEAC Vishay | Mouser Österreich</t>
  </si>
  <si>
    <t>R_DIMA_1,R_DIMB_5,R_DIMA_7,R_DIMB_7,R_DIMA_9,R_DIMB_1,R_DIMA_5,R_DIMB_9</t>
  </si>
  <si>
    <t>33k</t>
  </si>
  <si>
    <t>CR0603-JW-333ELF Bourns | Mouser Österreich</t>
  </si>
  <si>
    <t>C_DIMA_6,C_DIMB_6,C_DIMA_36,C_DIMB_30,C_DIMA_22,C_DIMA_30,C_DIMA_20,C_DIMB_28,C39,C_DIMB_38,C_DIMB_22,C_DIMA_28,C_DIMA_38,C_DIMA_3,C_DIMB_36,C_DIMB_3,C40,C_DIMB_20</t>
  </si>
  <si>
    <t>100nF 100V</t>
  </si>
  <si>
    <t>CL10B104KC8NNNC Samsung Electro-Mechanics | Mouser Österreich</t>
  </si>
  <si>
    <t>C6,C7,C2,C4</t>
  </si>
  <si>
    <t>LMK107BBJ106MALT TAIYO YUDEN | Mouser Österreich</t>
  </si>
  <si>
    <t>L6</t>
  </si>
  <si>
    <t>L_Radial_D7.5mm_P3.50mm_Fastron_07P</t>
  </si>
  <si>
    <t>DR0608-103L Coilcraft | Mouser Österreich</t>
  </si>
  <si>
    <t>TR1</t>
  </si>
  <si>
    <t>Transformer_Wuerth_750315371</t>
  </si>
  <si>
    <t>Wuerth_750315371</t>
  </si>
  <si>
    <t>750315371 Wurth Elektronik | Mouser Österreich</t>
  </si>
  <si>
    <t>R2,R1</t>
  </si>
  <si>
    <t>4k7</t>
  </si>
  <si>
    <t>CR0603-JW-472ELF Bourns | Mouser Österreich</t>
  </si>
  <si>
    <t>R27</t>
  </si>
  <si>
    <t>470k</t>
  </si>
  <si>
    <t>C_DIMA_4,C_DIMB_27,C_DIMA_27,C_DIMB_19,C_DIMA_35,C_DIMB_4,C_DIMB_35,C_DIMA_19</t>
  </si>
  <si>
    <t>470pF</t>
  </si>
  <si>
    <t>R_K8,R_F1,R_K6,R_K4,R_K3,R_K2,R_K9,R_K1,R_K7,R_K5</t>
  </si>
  <si>
    <t>AC0603JR-07100RL YAGEO | Mouser Österreich</t>
  </si>
  <si>
    <t>M1</t>
  </si>
  <si>
    <t>FanPinHeader_1x03_P2.54mm_Vertical</t>
  </si>
  <si>
    <t>Fan_3pin</t>
  </si>
  <si>
    <t>22-23-2031 Molex | Mouser Österreich</t>
  </si>
  <si>
    <t>FRDM_MCXA153_1</t>
  </si>
  <si>
    <t>FRDM-MCXA153-SMD</t>
  </si>
  <si>
    <t>MCU**</t>
  </si>
  <si>
    <t>FRDM-MCXA153 NXP Semiconductors | Mouser Österreich</t>
  </si>
  <si>
    <t>Q_K8,Q_K2,Q_F1,Q_K7,Q_K4,Q_K3,Q_K1,Q_K5,Q_K6,Q_K9</t>
  </si>
  <si>
    <t>SOT-23-3</t>
  </si>
  <si>
    <t>NTR4003NT1G</t>
  </si>
  <si>
    <t>U_DIMA4,U_DIMB1,U_DIMB4,U_DIMB5,U_DIMA3,U_DIMA5,U_DIMA1,U_DIMB3</t>
  </si>
  <si>
    <t>HSOP-8-1EP_3.9x4.9mm_P1.27mm_EP2.41x3.1mm</t>
  </si>
  <si>
    <t>U6</t>
  </si>
  <si>
    <t>SOT-23</t>
  </si>
  <si>
    <t>C41,C42</t>
  </si>
  <si>
    <t>U3</t>
  </si>
  <si>
    <t>SOT-23-6</t>
  </si>
  <si>
    <t>TPS54308</t>
  </si>
  <si>
    <t>TPS54308DDCR Texas Instruments | Mouser Österreich</t>
  </si>
  <si>
    <t>RS_DIMB_5,RS_DIMB_1,RS_DIMB_4,RS_DIMA_4,RS_DIMB_3,RS_DIMA_5,RS_DIMA_1,RS_DIMA_3</t>
  </si>
  <si>
    <t>R_1206_3216Metric</t>
  </si>
  <si>
    <t>AC1206FR-7W1RL YAGEO | Mouser Österreich</t>
  </si>
  <si>
    <t>RCWE1206R500FKEA Vishay / Dale | Mouser Österreich</t>
  </si>
  <si>
    <t>RCWE1206R250FKEA Vishay / Dale | Mouser Österreich</t>
  </si>
  <si>
    <t>C_DIMB_8,C_DIMA_40,C_DIMA_32,C_DIMB_40,C_DIMA_8,C_DIMB_32,C_DIMA_24,C_DIMB_24</t>
  </si>
  <si>
    <t>NM</t>
  </si>
  <si>
    <t>U4</t>
  </si>
  <si>
    <t>SOIC-16W_7.5x10.3mm_P1.27mm</t>
  </si>
  <si>
    <t>ISO7741</t>
  </si>
  <si>
    <t>R4,R3</t>
  </si>
  <si>
    <t>Reserve</t>
  </si>
  <si>
    <t>D2,D3</t>
  </si>
  <si>
    <t>MBR0520</t>
  </si>
  <si>
    <t>R33</t>
  </si>
  <si>
    <t>3k3</t>
  </si>
  <si>
    <t>R32</t>
  </si>
  <si>
    <t>10k</t>
  </si>
  <si>
    <t>C10,C11</t>
  </si>
  <si>
    <t>U1</t>
  </si>
  <si>
    <t>SOIC-8_3.9x4.9mm_P1.27mm</t>
  </si>
  <si>
    <t>SN65LBC176QDR</t>
  </si>
  <si>
    <t>C43</t>
  </si>
  <si>
    <t>75pF</t>
  </si>
  <si>
    <t>R30</t>
  </si>
  <si>
    <t>U2</t>
  </si>
  <si>
    <t>TPS76350</t>
  </si>
  <si>
    <t>NTR4003NT1G onsemi | Mouser Österreich</t>
  </si>
  <si>
    <t>LED5000PHR STMicroelectronics | Mouser Österreich</t>
  </si>
  <si>
    <t>MCP9700T-E/LT Microchip Technology | Mouser Österreich</t>
  </si>
  <si>
    <t>Not mounted</t>
  </si>
  <si>
    <t>ISO7742FTBDWRQ1 Texas Instruments | Mouser Österreich</t>
  </si>
  <si>
    <t>MBR0520-TP Micro Commercial Components (MCC) | Mouser Österreich</t>
  </si>
  <si>
    <t>SN65LBC176QDRQ1 Texas Instruments | Mouser Österreich</t>
  </si>
  <si>
    <t>TPS76350DBVT Texas Instruments | Mouser Österreich</t>
  </si>
  <si>
    <t>https://www.mouser.at/ProductDetail/onsemi/MMSD914T1G?qs=P4IOph%252Bbot8PMEQIZWg1LQ%3D%3D</t>
  </si>
  <si>
    <t>BZT52-B68J Nexperia | Mouser Österreich</t>
  </si>
  <si>
    <t>47µH  3.8A</t>
  </si>
  <si>
    <t>https://www.mouser.at/ProductDetail/Vishay-Draloric/RCA0603100KFKEAHP?qs=rrS6PyfT74exmGMHOWeh9Q%3D%3D</t>
  </si>
  <si>
    <t>10µF</t>
  </si>
  <si>
    <t>10µH</t>
  </si>
  <si>
    <t>https://www.mouser.at/ProductDetail/YAGEO/RC0603FR-07470KP?qs=qpJ%252B%252B%252Bdg6p1kr0jBLk7M1w%3D%3D</t>
  </si>
  <si>
    <t>https://www.mouser.at/ProductDetail/Murata-Electronics/GCM1885G2A471JA16D?qs=fGlRhPlbk9z%252BfQIA9svLZw%3D%3D</t>
  </si>
  <si>
    <t>MCU J2</t>
  </si>
  <si>
    <t>PinHeader 2x20 P2.54 SMD Vertical</t>
  </si>
  <si>
    <t>MCU J1 + J3</t>
  </si>
  <si>
    <t>PinHeader 2x16 P2.54 SMD Vertical</t>
  </si>
  <si>
    <t>MCU J4</t>
  </si>
  <si>
    <t>PinHeader 2x12 P2.54 SMD Vertical</t>
  </si>
  <si>
    <t>https://www.mouser.at/ProductDetail/200-HW1011FD610SM</t>
  </si>
  <si>
    <t>Quantitiy ordered</t>
  </si>
  <si>
    <t>STPS3L60UF</t>
  </si>
  <si>
    <t>1 µF 100V</t>
  </si>
  <si>
    <t>MMSZ39T1G</t>
  </si>
  <si>
    <t>1-282836-3</t>
  </si>
  <si>
    <t>10µF 100V</t>
  </si>
  <si>
    <t>100R</t>
  </si>
  <si>
    <t>LED5000PHR</t>
  </si>
  <si>
    <t>MCP9700T-E/LT</t>
  </si>
  <si>
    <t>22µF</t>
  </si>
  <si>
    <t>47µF</t>
  </si>
  <si>
    <t>49.9R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</si>
</sst>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€-C07]\ * #,##0.00_-;\-[$€-C07]\ * #,##0.00_-;_-[$€-C07]\ * &quot;-&quot;??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164" fontId="0" fillId="0" borderId="0" xfId="0" applyNumberFormat="1"/>
    <xf numFmtId="164" fontId="6" fillId="2" borderId="0" xfId="6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at/ProductDetail/onsemi/MMSD914T1G?qs=P4IOph%252Bbot8PMEQIZWg1LQ%3D%3D" TargetMode="External"/><Relationship Id="rId13" Type="http://schemas.openxmlformats.org/officeDocument/2006/relationships/hyperlink" Target="https://www.mouser.at/ProductDetail/Murata-Electronics/GCM1885G2A471JA16D?qs=fGlRhPlbk9z%252BfQIA9svLZw%3D%3D" TargetMode="External"/><Relationship Id="rId3" Type="http://schemas.openxmlformats.org/officeDocument/2006/relationships/hyperlink" Target="https://www.mouser.at/ProductDetail/Microchip-Technology/MCP9700T-E-LT?qs=RnzODY3cU8tW7jSxAPzBuw%3D%3D" TargetMode="External"/><Relationship Id="rId7" Type="http://schemas.openxmlformats.org/officeDocument/2006/relationships/hyperlink" Target="https://www.mouser.at/ProductDetail/Texas-Instruments/TPS76350DBVT?qs=8yeEWhuAOtP%2FFGo0oRuSfA%3D%3D" TargetMode="External"/><Relationship Id="rId12" Type="http://schemas.openxmlformats.org/officeDocument/2006/relationships/hyperlink" Target="https://www.mouser.at/ProductDetail/YAGEO/RC0603FR-07470KP?qs=qpJ%252B%252B%252Bdg6p1kr0jBLk7M1w%3D%3D" TargetMode="External"/><Relationship Id="rId2" Type="http://schemas.openxmlformats.org/officeDocument/2006/relationships/hyperlink" Target="https://www.mouser.at/ProductDetail/STMicroelectronics/LED5000PHR?qs=MSnG1hQWQLXEtGGcTXnZpA%3D%3D" TargetMode="External"/><Relationship Id="rId1" Type="http://schemas.openxmlformats.org/officeDocument/2006/relationships/hyperlink" Target="https://www.mouser.at/ProductDetail/onsemi/NTR4003NT1G?qs=CBDP9nzV7kme%2Fyh64xROOQ%3D%3D" TargetMode="External"/><Relationship Id="rId6" Type="http://schemas.openxmlformats.org/officeDocument/2006/relationships/hyperlink" Target="https://www.mouser.at/ProductDetail/Texas-Instruments/SN65LBC176QDRQ1?qs=UnBokwpwLz%2F%2FuNS0W0w55g%3D%3D" TargetMode="External"/><Relationship Id="rId11" Type="http://schemas.openxmlformats.org/officeDocument/2006/relationships/hyperlink" Target="https://www.mouser.at/ProductDetail/Vishay-Draloric/RCA0603100KFKEAHP?qs=rrS6PyfT74exmGMHOWeh9Q%3D%3D" TargetMode="External"/><Relationship Id="rId5" Type="http://schemas.openxmlformats.org/officeDocument/2006/relationships/hyperlink" Target="https://www.mouser.at/ProductDetail/Micro-Commercial-Components-MCC/MBR0520-TP?qs=Oupk%2FUD005gN%2Fsy5ULAgCw%3D%3D" TargetMode="External"/><Relationship Id="rId10" Type="http://schemas.openxmlformats.org/officeDocument/2006/relationships/hyperlink" Target="https://www.mouser.at/ProductDetail/Nexperia/BZT52-B68J?qs=W0yvOO0ixfHDugOwJJQdtw%3D%3D" TargetMode="External"/><Relationship Id="rId4" Type="http://schemas.openxmlformats.org/officeDocument/2006/relationships/hyperlink" Target="https://www.mouser.at/ProductDetail/Texas-Instruments/ISO7742FTBDWRQ1?qs=efUn273yAhcm4v0l5sVOsQ%3D%3D" TargetMode="External"/><Relationship Id="rId9" Type="http://schemas.openxmlformats.org/officeDocument/2006/relationships/hyperlink" Target="https://www.mouser.at/ProductDetail/863-MMSZ39T1G" TargetMode="External"/><Relationship Id="rId14" Type="http://schemas.openxmlformats.org/officeDocument/2006/relationships/hyperlink" Target="https://www.mouser.at/ProductDetail/200-HW1011FD610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D13" zoomScale="85" zoomScaleNormal="85" workbookViewId="0">
      <selection activeCell="G31" sqref="G31"/>
    </sheetView>
  </sheetViews>
  <sheetFormatPr baseColWidth="10" defaultColWidth="9" defaultRowHeight="14.25"/>
  <cols>
    <col min="2" max="2" width="169.25" bestFit="1" customWidth="1"/>
    <col min="3" max="3" width="48.875" bestFit="1" customWidth="1"/>
    <col min="5" max="5" width="20.875" bestFit="1" customWidth="1"/>
    <col min="6" max="6" width="9.125" style="2"/>
    <col min="7" max="7" width="16" customWidth="1"/>
    <col min="8" max="8" width="20.125" bestFit="1" customWidth="1"/>
    <col min="9" max="9" width="14.625" style="2" bestFit="1" customWidth="1"/>
    <col min="10" max="10" width="110.875" customWidth="1"/>
    <col min="11" max="12" width="49.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155</v>
      </c>
      <c r="I1" s="2" t="s">
        <v>7</v>
      </c>
      <c r="J1" t="s">
        <v>8</v>
      </c>
    </row>
    <row r="2" spans="1:11">
      <c r="A2">
        <v>1</v>
      </c>
      <c r="B2" t="s">
        <v>9</v>
      </c>
      <c r="C2" t="s">
        <v>10</v>
      </c>
      <c r="D2">
        <v>17</v>
      </c>
      <c r="E2" t="s">
        <v>160</v>
      </c>
      <c r="F2" s="2">
        <v>0.39900000000000002</v>
      </c>
      <c r="G2">
        <f>D2*10</f>
        <v>170</v>
      </c>
      <c r="H2">
        <v>17</v>
      </c>
      <c r="I2" s="3">
        <f>F2*H2</f>
        <v>6.7830000000000004</v>
      </c>
      <c r="J2" t="s">
        <v>11</v>
      </c>
    </row>
    <row r="3" spans="1:11">
      <c r="A3">
        <v>2</v>
      </c>
      <c r="B3" t="s">
        <v>12</v>
      </c>
      <c r="C3" t="s">
        <v>13</v>
      </c>
      <c r="D3">
        <v>8</v>
      </c>
      <c r="E3" t="s">
        <v>156</v>
      </c>
      <c r="F3" s="2">
        <v>0.14199999999999999</v>
      </c>
      <c r="G3">
        <f t="shared" ref="G3:G49" si="0">D3*10</f>
        <v>80</v>
      </c>
      <c r="H3">
        <v>100</v>
      </c>
      <c r="I3" s="3">
        <f t="shared" ref="I3:I48" si="1">F3*H3</f>
        <v>14.2</v>
      </c>
      <c r="J3" t="s">
        <v>14</v>
      </c>
    </row>
    <row r="4" spans="1:11">
      <c r="A4">
        <v>3</v>
      </c>
      <c r="B4" t="s">
        <v>15</v>
      </c>
      <c r="C4">
        <v>20715562</v>
      </c>
      <c r="D4">
        <v>9</v>
      </c>
      <c r="E4" t="s">
        <v>16</v>
      </c>
      <c r="F4" s="2">
        <v>1.24</v>
      </c>
      <c r="G4">
        <f t="shared" si="0"/>
        <v>90</v>
      </c>
      <c r="H4">
        <v>10</v>
      </c>
      <c r="I4" s="3">
        <f t="shared" si="1"/>
        <v>12.4</v>
      </c>
      <c r="J4" t="s">
        <v>17</v>
      </c>
    </row>
    <row r="5" spans="1:11">
      <c r="A5">
        <v>4</v>
      </c>
      <c r="B5" t="s">
        <v>18</v>
      </c>
      <c r="C5" t="s">
        <v>19</v>
      </c>
      <c r="D5">
        <v>1</v>
      </c>
      <c r="E5" t="s">
        <v>20</v>
      </c>
      <c r="F5" s="2">
        <v>0.152</v>
      </c>
      <c r="G5">
        <f t="shared" si="0"/>
        <v>10</v>
      </c>
      <c r="H5">
        <v>10</v>
      </c>
      <c r="I5" s="3">
        <f t="shared" si="1"/>
        <v>1.52</v>
      </c>
      <c r="J5" t="s">
        <v>21</v>
      </c>
    </row>
    <row r="6" spans="1:11">
      <c r="A6">
        <v>5</v>
      </c>
      <c r="B6" t="s">
        <v>22</v>
      </c>
      <c r="C6" t="s">
        <v>23</v>
      </c>
      <c r="D6">
        <v>1</v>
      </c>
      <c r="E6" t="s">
        <v>165</v>
      </c>
      <c r="F6" s="2">
        <v>0</v>
      </c>
      <c r="G6">
        <f t="shared" si="0"/>
        <v>10</v>
      </c>
      <c r="H6">
        <v>0</v>
      </c>
      <c r="I6" s="3">
        <f t="shared" si="1"/>
        <v>0</v>
      </c>
      <c r="J6" t="s">
        <v>24</v>
      </c>
    </row>
    <row r="7" spans="1:11">
      <c r="A7">
        <v>6</v>
      </c>
      <c r="B7" t="s">
        <v>25</v>
      </c>
      <c r="C7" t="s">
        <v>26</v>
      </c>
      <c r="D7">
        <v>8</v>
      </c>
      <c r="E7" t="s">
        <v>157</v>
      </c>
      <c r="F7" s="2">
        <v>4.2000000000000003E-2</v>
      </c>
      <c r="G7">
        <f t="shared" si="0"/>
        <v>80</v>
      </c>
      <c r="H7">
        <v>100</v>
      </c>
      <c r="I7" s="3">
        <f t="shared" si="1"/>
        <v>4.2</v>
      </c>
      <c r="J7" t="s">
        <v>27</v>
      </c>
    </row>
    <row r="8" spans="1:11">
      <c r="A8">
        <v>7</v>
      </c>
      <c r="B8" t="s">
        <v>28</v>
      </c>
      <c r="C8">
        <v>1752201</v>
      </c>
      <c r="D8">
        <v>3</v>
      </c>
      <c r="E8">
        <v>1752201</v>
      </c>
      <c r="F8" s="2">
        <v>12.94</v>
      </c>
      <c r="G8">
        <f t="shared" si="0"/>
        <v>30</v>
      </c>
      <c r="H8">
        <v>9</v>
      </c>
      <c r="I8" s="2">
        <f t="shared" si="1"/>
        <v>116.46</v>
      </c>
      <c r="J8" t="s">
        <v>29</v>
      </c>
    </row>
    <row r="9" spans="1:11">
      <c r="A9">
        <v>8</v>
      </c>
      <c r="B9" t="s">
        <v>30</v>
      </c>
      <c r="C9" t="s">
        <v>31</v>
      </c>
      <c r="D9">
        <v>10</v>
      </c>
      <c r="E9" t="s">
        <v>32</v>
      </c>
      <c r="F9" s="2">
        <v>4.2000000000000003E-2</v>
      </c>
      <c r="G9">
        <f t="shared" si="0"/>
        <v>100</v>
      </c>
      <c r="H9">
        <v>110</v>
      </c>
      <c r="I9" s="3">
        <f t="shared" si="1"/>
        <v>4.62</v>
      </c>
      <c r="J9" s="1" t="s">
        <v>140</v>
      </c>
    </row>
    <row r="10" spans="1:11">
      <c r="A10">
        <v>9</v>
      </c>
      <c r="B10" t="s">
        <v>33</v>
      </c>
      <c r="C10" t="s">
        <v>31</v>
      </c>
      <c r="D10">
        <v>8</v>
      </c>
      <c r="E10" t="s">
        <v>158</v>
      </c>
      <c r="F10" s="2">
        <v>3.3000000000000002E-2</v>
      </c>
      <c r="G10">
        <f t="shared" si="0"/>
        <v>80</v>
      </c>
      <c r="H10">
        <v>100</v>
      </c>
      <c r="I10" s="3">
        <f>F10*H10 + 1.64</f>
        <v>4.9400000000000004</v>
      </c>
      <c r="J10" s="1" t="s">
        <v>34</v>
      </c>
      <c r="K10" s="1" t="s">
        <v>141</v>
      </c>
    </row>
    <row r="11" spans="1:11">
      <c r="A11">
        <v>10</v>
      </c>
      <c r="B11" t="s">
        <v>35</v>
      </c>
      <c r="C11" t="s">
        <v>36</v>
      </c>
      <c r="D11">
        <v>8</v>
      </c>
      <c r="E11" t="s">
        <v>37</v>
      </c>
      <c r="F11" s="2">
        <v>2.4E-2</v>
      </c>
      <c r="G11">
        <f t="shared" si="0"/>
        <v>80</v>
      </c>
      <c r="H11">
        <v>100</v>
      </c>
      <c r="I11" s="3">
        <f t="shared" si="1"/>
        <v>2.4</v>
      </c>
      <c r="J11" t="s">
        <v>38</v>
      </c>
    </row>
    <row r="12" spans="1:11">
      <c r="A12">
        <v>11</v>
      </c>
      <c r="B12" t="s">
        <v>39</v>
      </c>
      <c r="C12" t="s">
        <v>40</v>
      </c>
      <c r="D12">
        <v>9</v>
      </c>
      <c r="E12" t="s">
        <v>159</v>
      </c>
      <c r="F12" s="2">
        <v>0.54600000000000004</v>
      </c>
      <c r="G12">
        <f t="shared" si="0"/>
        <v>90</v>
      </c>
      <c r="H12">
        <v>100</v>
      </c>
      <c r="I12" s="3">
        <f t="shared" si="1"/>
        <v>54.6</v>
      </c>
      <c r="J12" t="s">
        <v>41</v>
      </c>
    </row>
    <row r="13" spans="1:11">
      <c r="A13">
        <v>12</v>
      </c>
      <c r="B13" t="s">
        <v>42</v>
      </c>
      <c r="C13" t="s">
        <v>43</v>
      </c>
      <c r="D13">
        <v>8</v>
      </c>
      <c r="E13" t="s">
        <v>142</v>
      </c>
      <c r="F13" s="2">
        <v>0.495</v>
      </c>
      <c r="G13">
        <f t="shared" si="0"/>
        <v>80</v>
      </c>
      <c r="H13">
        <v>100</v>
      </c>
      <c r="I13" s="3">
        <f t="shared" si="1"/>
        <v>49.5</v>
      </c>
      <c r="J13" t="s">
        <v>44</v>
      </c>
    </row>
    <row r="14" spans="1:11">
      <c r="A14">
        <v>13</v>
      </c>
      <c r="B14" t="s">
        <v>45</v>
      </c>
      <c r="C14" t="s">
        <v>46</v>
      </c>
      <c r="D14">
        <v>1</v>
      </c>
      <c r="E14" t="s">
        <v>47</v>
      </c>
      <c r="F14" s="2">
        <v>1.33</v>
      </c>
      <c r="G14">
        <f t="shared" si="0"/>
        <v>10</v>
      </c>
      <c r="H14">
        <v>1</v>
      </c>
      <c r="I14" s="3">
        <f t="shared" si="1"/>
        <v>1.33</v>
      </c>
      <c r="J14" t="s">
        <v>48</v>
      </c>
    </row>
    <row r="15" spans="1:11">
      <c r="A15">
        <v>14</v>
      </c>
      <c r="B15" t="s">
        <v>49</v>
      </c>
      <c r="C15" t="s">
        <v>50</v>
      </c>
      <c r="D15">
        <v>1</v>
      </c>
      <c r="E15" t="s">
        <v>51</v>
      </c>
      <c r="F15" s="2">
        <v>0.28999999999999998</v>
      </c>
      <c r="G15">
        <f t="shared" si="0"/>
        <v>10</v>
      </c>
      <c r="H15">
        <v>15</v>
      </c>
      <c r="I15" s="3">
        <f t="shared" si="1"/>
        <v>4.3499999999999996</v>
      </c>
      <c r="J15" t="s">
        <v>52</v>
      </c>
    </row>
    <row r="16" spans="1:11">
      <c r="A16">
        <v>15</v>
      </c>
      <c r="B16" t="s">
        <v>53</v>
      </c>
      <c r="C16" t="s">
        <v>36</v>
      </c>
      <c r="D16">
        <v>5</v>
      </c>
      <c r="E16" t="s">
        <v>54</v>
      </c>
      <c r="F16" s="2">
        <v>0</v>
      </c>
      <c r="G16">
        <f t="shared" si="0"/>
        <v>50</v>
      </c>
      <c r="H16">
        <v>0</v>
      </c>
      <c r="I16" s="2">
        <f t="shared" si="1"/>
        <v>0</v>
      </c>
      <c r="J16" t="s">
        <v>24</v>
      </c>
    </row>
    <row r="17" spans="1:10">
      <c r="A17">
        <v>16</v>
      </c>
      <c r="B17" t="s">
        <v>55</v>
      </c>
      <c r="C17" t="s">
        <v>56</v>
      </c>
      <c r="D17">
        <v>10</v>
      </c>
      <c r="E17" t="s">
        <v>57</v>
      </c>
      <c r="F17" s="2">
        <v>3.5000000000000003E-2</v>
      </c>
      <c r="G17">
        <f t="shared" si="0"/>
        <v>100</v>
      </c>
      <c r="H17">
        <v>100</v>
      </c>
      <c r="I17" s="3">
        <f t="shared" si="1"/>
        <v>3.5000000000000004</v>
      </c>
      <c r="J17" s="1" t="s">
        <v>143</v>
      </c>
    </row>
    <row r="18" spans="1:10">
      <c r="A18">
        <v>17</v>
      </c>
      <c r="B18" t="s">
        <v>58</v>
      </c>
      <c r="C18" t="s">
        <v>56</v>
      </c>
      <c r="D18">
        <v>8</v>
      </c>
      <c r="E18" t="s">
        <v>59</v>
      </c>
      <c r="F18" s="2">
        <v>7.0000000000000001E-3</v>
      </c>
      <c r="G18">
        <f t="shared" si="0"/>
        <v>80</v>
      </c>
      <c r="H18">
        <v>100</v>
      </c>
      <c r="I18" s="3">
        <f t="shared" si="1"/>
        <v>0.70000000000000007</v>
      </c>
      <c r="J18" t="s">
        <v>60</v>
      </c>
    </row>
    <row r="19" spans="1:10">
      <c r="A19">
        <v>18</v>
      </c>
      <c r="B19" t="s">
        <v>61</v>
      </c>
      <c r="C19" t="s">
        <v>56</v>
      </c>
      <c r="D19">
        <v>8</v>
      </c>
      <c r="E19" t="s">
        <v>62</v>
      </c>
      <c r="F19" s="2">
        <v>3.0000000000000001E-3</v>
      </c>
      <c r="G19">
        <f t="shared" si="0"/>
        <v>80</v>
      </c>
      <c r="H19">
        <v>100</v>
      </c>
      <c r="I19" s="3">
        <f t="shared" si="1"/>
        <v>0.3</v>
      </c>
      <c r="J19" t="s">
        <v>63</v>
      </c>
    </row>
    <row r="20" spans="1:10">
      <c r="A20">
        <v>19</v>
      </c>
      <c r="B20" t="s">
        <v>64</v>
      </c>
      <c r="C20" t="s">
        <v>36</v>
      </c>
      <c r="D20">
        <v>18</v>
      </c>
      <c r="E20" t="s">
        <v>65</v>
      </c>
      <c r="F20" s="2">
        <v>8.0000000000000002E-3</v>
      </c>
      <c r="G20">
        <f t="shared" si="0"/>
        <v>180</v>
      </c>
      <c r="H20">
        <v>200</v>
      </c>
      <c r="I20" s="3">
        <f t="shared" si="1"/>
        <v>1.6</v>
      </c>
      <c r="J20" t="s">
        <v>66</v>
      </c>
    </row>
    <row r="21" spans="1:10">
      <c r="A21">
        <v>20</v>
      </c>
      <c r="B21" t="s">
        <v>67</v>
      </c>
      <c r="C21" t="s">
        <v>36</v>
      </c>
      <c r="D21">
        <v>4</v>
      </c>
      <c r="E21" t="s">
        <v>144</v>
      </c>
      <c r="F21" s="2">
        <v>2.8000000000000001E-2</v>
      </c>
      <c r="G21">
        <f t="shared" si="0"/>
        <v>40</v>
      </c>
      <c r="H21">
        <v>100</v>
      </c>
      <c r="I21" s="3">
        <f t="shared" si="1"/>
        <v>2.8000000000000003</v>
      </c>
      <c r="J21" t="s">
        <v>68</v>
      </c>
    </row>
    <row r="22" spans="1:10">
      <c r="A22">
        <v>21</v>
      </c>
      <c r="B22" t="s">
        <v>69</v>
      </c>
      <c r="C22" t="s">
        <v>70</v>
      </c>
      <c r="D22">
        <v>1</v>
      </c>
      <c r="E22" t="s">
        <v>145</v>
      </c>
      <c r="F22" s="2">
        <v>0.69299999999999995</v>
      </c>
      <c r="G22">
        <f t="shared" si="0"/>
        <v>10</v>
      </c>
      <c r="H22">
        <v>10</v>
      </c>
      <c r="I22" s="3">
        <f t="shared" si="1"/>
        <v>6.93</v>
      </c>
      <c r="J22" t="s">
        <v>71</v>
      </c>
    </row>
    <row r="23" spans="1:10">
      <c r="A23">
        <v>22</v>
      </c>
      <c r="B23" t="s">
        <v>72</v>
      </c>
      <c r="C23" t="s">
        <v>73</v>
      </c>
      <c r="D23">
        <v>1</v>
      </c>
      <c r="E23" t="s">
        <v>74</v>
      </c>
      <c r="F23" s="2">
        <v>2.11</v>
      </c>
      <c r="G23">
        <f t="shared" si="0"/>
        <v>10</v>
      </c>
      <c r="H23">
        <v>1</v>
      </c>
      <c r="I23" s="3">
        <f t="shared" si="1"/>
        <v>2.11</v>
      </c>
      <c r="J23" t="s">
        <v>75</v>
      </c>
    </row>
    <row r="24" spans="1:10">
      <c r="A24">
        <v>23</v>
      </c>
      <c r="B24" t="s">
        <v>76</v>
      </c>
      <c r="C24" t="s">
        <v>56</v>
      </c>
      <c r="D24">
        <v>2</v>
      </c>
      <c r="E24" t="s">
        <v>77</v>
      </c>
      <c r="F24" s="2">
        <v>5.0000000000000001E-3</v>
      </c>
      <c r="G24">
        <f t="shared" si="0"/>
        <v>20</v>
      </c>
      <c r="H24">
        <v>100</v>
      </c>
      <c r="I24" s="3">
        <f t="shared" si="1"/>
        <v>0.5</v>
      </c>
      <c r="J24" t="s">
        <v>78</v>
      </c>
    </row>
    <row r="25" spans="1:10">
      <c r="A25">
        <v>24</v>
      </c>
      <c r="B25" t="s">
        <v>79</v>
      </c>
      <c r="C25" t="s">
        <v>56</v>
      </c>
      <c r="D25">
        <v>1</v>
      </c>
      <c r="E25" t="s">
        <v>80</v>
      </c>
      <c r="F25" s="2">
        <v>8.0000000000000002E-3</v>
      </c>
      <c r="G25">
        <f t="shared" si="0"/>
        <v>10</v>
      </c>
      <c r="H25">
        <v>100</v>
      </c>
      <c r="I25" s="3">
        <f t="shared" si="1"/>
        <v>0.8</v>
      </c>
      <c r="J25" s="1" t="s">
        <v>146</v>
      </c>
    </row>
    <row r="26" spans="1:10">
      <c r="A26">
        <v>25</v>
      </c>
      <c r="B26" t="s">
        <v>81</v>
      </c>
      <c r="C26" t="s">
        <v>36</v>
      </c>
      <c r="D26">
        <v>8</v>
      </c>
      <c r="E26" t="s">
        <v>82</v>
      </c>
      <c r="F26" s="2">
        <v>2.7E-2</v>
      </c>
      <c r="G26">
        <f t="shared" si="0"/>
        <v>80</v>
      </c>
      <c r="H26">
        <v>100</v>
      </c>
      <c r="I26" s="3">
        <f t="shared" si="1"/>
        <v>2.7</v>
      </c>
      <c r="J26" s="1" t="s">
        <v>147</v>
      </c>
    </row>
    <row r="27" spans="1:10">
      <c r="A27">
        <v>26</v>
      </c>
      <c r="B27" t="s">
        <v>83</v>
      </c>
      <c r="C27" t="s">
        <v>56</v>
      </c>
      <c r="D27">
        <v>10</v>
      </c>
      <c r="E27" t="s">
        <v>161</v>
      </c>
      <c r="F27" s="2">
        <v>6.0000000000000001E-3</v>
      </c>
      <c r="G27">
        <f t="shared" si="0"/>
        <v>100</v>
      </c>
      <c r="H27">
        <v>120</v>
      </c>
      <c r="I27" s="3">
        <f t="shared" si="1"/>
        <v>0.72</v>
      </c>
      <c r="J27" t="s">
        <v>84</v>
      </c>
    </row>
    <row r="28" spans="1:10">
      <c r="A28">
        <v>27</v>
      </c>
      <c r="B28" t="s">
        <v>85</v>
      </c>
      <c r="C28" t="s">
        <v>86</v>
      </c>
      <c r="D28">
        <v>1</v>
      </c>
      <c r="E28" t="s">
        <v>87</v>
      </c>
      <c r="F28" s="2">
        <v>0.16300000000000001</v>
      </c>
      <c r="G28">
        <f t="shared" si="0"/>
        <v>10</v>
      </c>
      <c r="H28">
        <v>10</v>
      </c>
      <c r="I28" s="3">
        <f t="shared" si="1"/>
        <v>1.6300000000000001</v>
      </c>
      <c r="J28" t="s">
        <v>88</v>
      </c>
    </row>
    <row r="29" spans="1:10">
      <c r="A29">
        <v>28</v>
      </c>
      <c r="B29" t="s">
        <v>89</v>
      </c>
      <c r="C29" t="s">
        <v>90</v>
      </c>
      <c r="D29">
        <v>1</v>
      </c>
      <c r="E29" t="s">
        <v>91</v>
      </c>
      <c r="F29" s="2">
        <v>12.75</v>
      </c>
      <c r="G29">
        <f t="shared" si="0"/>
        <v>10</v>
      </c>
      <c r="H29">
        <v>2</v>
      </c>
      <c r="I29" s="3">
        <f t="shared" si="1"/>
        <v>25.5</v>
      </c>
      <c r="J29" t="s">
        <v>92</v>
      </c>
    </row>
    <row r="30" spans="1:10">
      <c r="A30">
        <v>29</v>
      </c>
      <c r="B30" t="s">
        <v>93</v>
      </c>
      <c r="C30" t="s">
        <v>94</v>
      </c>
      <c r="D30">
        <v>10</v>
      </c>
      <c r="E30" t="s">
        <v>95</v>
      </c>
      <c r="F30" s="2">
        <v>3.6999999999999998E-2</v>
      </c>
      <c r="G30">
        <f t="shared" si="0"/>
        <v>100</v>
      </c>
      <c r="H30">
        <v>100</v>
      </c>
      <c r="I30" s="3">
        <f t="shared" si="1"/>
        <v>3.6999999999999997</v>
      </c>
      <c r="J30" s="1" t="s">
        <v>132</v>
      </c>
    </row>
    <row r="31" spans="1:10">
      <c r="A31">
        <v>30</v>
      </c>
      <c r="B31" t="s">
        <v>96</v>
      </c>
      <c r="C31" t="s">
        <v>97</v>
      </c>
      <c r="D31">
        <v>8</v>
      </c>
      <c r="E31" t="s">
        <v>162</v>
      </c>
      <c r="F31" s="2">
        <v>1.39</v>
      </c>
      <c r="G31">
        <f t="shared" si="0"/>
        <v>80</v>
      </c>
      <c r="H31">
        <v>10</v>
      </c>
      <c r="I31" s="3">
        <f t="shared" si="1"/>
        <v>13.899999999999999</v>
      </c>
      <c r="J31" s="1" t="s">
        <v>133</v>
      </c>
    </row>
    <row r="32" spans="1:10">
      <c r="A32">
        <v>31</v>
      </c>
      <c r="B32" t="s">
        <v>98</v>
      </c>
      <c r="C32" t="s">
        <v>99</v>
      </c>
      <c r="D32">
        <v>1</v>
      </c>
      <c r="E32" t="s">
        <v>163</v>
      </c>
      <c r="F32" s="2">
        <v>0.34399999999999997</v>
      </c>
      <c r="G32">
        <f t="shared" si="0"/>
        <v>10</v>
      </c>
      <c r="H32">
        <v>2</v>
      </c>
      <c r="I32" s="3">
        <f t="shared" si="1"/>
        <v>0.68799999999999994</v>
      </c>
      <c r="J32" s="1" t="s">
        <v>134</v>
      </c>
    </row>
    <row r="33" spans="1:12">
      <c r="A33">
        <v>32</v>
      </c>
      <c r="B33" t="s">
        <v>100</v>
      </c>
      <c r="C33" t="s">
        <v>36</v>
      </c>
      <c r="D33">
        <v>2</v>
      </c>
      <c r="E33" t="s">
        <v>164</v>
      </c>
      <c r="F33" s="2">
        <v>0</v>
      </c>
      <c r="G33">
        <f t="shared" si="0"/>
        <v>20</v>
      </c>
      <c r="H33">
        <v>0</v>
      </c>
      <c r="I33" s="2">
        <f t="shared" si="1"/>
        <v>0</v>
      </c>
      <c r="J33" t="s">
        <v>24</v>
      </c>
    </row>
    <row r="34" spans="1:12">
      <c r="A34">
        <v>33</v>
      </c>
      <c r="B34" t="s">
        <v>101</v>
      </c>
      <c r="C34" t="s">
        <v>102</v>
      </c>
      <c r="D34">
        <v>1</v>
      </c>
      <c r="E34" t="s">
        <v>103</v>
      </c>
      <c r="F34" s="2">
        <v>0.745</v>
      </c>
      <c r="G34">
        <f t="shared" si="0"/>
        <v>10</v>
      </c>
      <c r="H34">
        <v>10</v>
      </c>
      <c r="I34" s="3">
        <f t="shared" si="1"/>
        <v>7.45</v>
      </c>
      <c r="J34" t="s">
        <v>104</v>
      </c>
    </row>
    <row r="35" spans="1:12">
      <c r="A35">
        <v>34</v>
      </c>
      <c r="B35" t="s">
        <v>105</v>
      </c>
      <c r="C35" t="s">
        <v>106</v>
      </c>
      <c r="D35">
        <v>8</v>
      </c>
      <c r="E35" t="s">
        <v>111</v>
      </c>
      <c r="F35" s="2">
        <v>0.47</v>
      </c>
      <c r="G35">
        <f t="shared" si="0"/>
        <v>80</v>
      </c>
      <c r="H35">
        <v>50</v>
      </c>
      <c r="I35" s="3">
        <f t="shared" si="1"/>
        <v>23.5</v>
      </c>
      <c r="J35" t="s">
        <v>107</v>
      </c>
      <c r="K35" t="s">
        <v>108</v>
      </c>
      <c r="L35" t="s">
        <v>109</v>
      </c>
    </row>
    <row r="36" spans="1:12">
      <c r="A36">
        <v>35</v>
      </c>
      <c r="B36" t="s">
        <v>110</v>
      </c>
      <c r="C36" t="s">
        <v>26</v>
      </c>
      <c r="D36">
        <v>8</v>
      </c>
      <c r="E36" t="s">
        <v>111</v>
      </c>
      <c r="F36" s="2">
        <v>0</v>
      </c>
      <c r="G36">
        <f t="shared" si="0"/>
        <v>80</v>
      </c>
      <c r="H36">
        <v>0</v>
      </c>
      <c r="I36" s="2">
        <f t="shared" si="1"/>
        <v>0</v>
      </c>
      <c r="J36" t="s">
        <v>135</v>
      </c>
    </row>
    <row r="37" spans="1:12">
      <c r="A37">
        <v>36</v>
      </c>
      <c r="B37" t="s">
        <v>112</v>
      </c>
      <c r="C37" t="s">
        <v>113</v>
      </c>
      <c r="D37">
        <v>1</v>
      </c>
      <c r="E37" t="s">
        <v>114</v>
      </c>
      <c r="F37" s="2">
        <v>2.42</v>
      </c>
      <c r="G37">
        <f t="shared" si="0"/>
        <v>10</v>
      </c>
      <c r="H37">
        <v>10</v>
      </c>
      <c r="I37" s="3">
        <f t="shared" si="1"/>
        <v>24.2</v>
      </c>
      <c r="J37" s="1" t="s">
        <v>136</v>
      </c>
    </row>
    <row r="38" spans="1:12">
      <c r="A38">
        <v>37</v>
      </c>
      <c r="B38" t="s">
        <v>115</v>
      </c>
      <c r="C38" t="s">
        <v>56</v>
      </c>
      <c r="D38">
        <v>2</v>
      </c>
      <c r="E38" t="s">
        <v>111</v>
      </c>
      <c r="F38" s="2">
        <v>0</v>
      </c>
      <c r="G38">
        <f t="shared" si="0"/>
        <v>20</v>
      </c>
      <c r="H38">
        <v>0</v>
      </c>
      <c r="I38" s="2">
        <f t="shared" si="1"/>
        <v>0</v>
      </c>
      <c r="J38" t="s">
        <v>116</v>
      </c>
    </row>
    <row r="39" spans="1:12">
      <c r="A39">
        <v>38</v>
      </c>
      <c r="B39" t="s">
        <v>117</v>
      </c>
      <c r="C39" t="s">
        <v>31</v>
      </c>
      <c r="D39">
        <v>2</v>
      </c>
      <c r="E39" t="s">
        <v>118</v>
      </c>
      <c r="F39" s="2">
        <v>0.114</v>
      </c>
      <c r="G39">
        <f t="shared" si="0"/>
        <v>20</v>
      </c>
      <c r="H39">
        <v>20</v>
      </c>
      <c r="I39" s="3">
        <f t="shared" si="1"/>
        <v>2.2800000000000002</v>
      </c>
      <c r="J39" s="1" t="s">
        <v>137</v>
      </c>
    </row>
    <row r="40" spans="1:12">
      <c r="A40">
        <v>39</v>
      </c>
      <c r="B40" t="s">
        <v>119</v>
      </c>
      <c r="C40" t="s">
        <v>56</v>
      </c>
      <c r="D40">
        <v>1</v>
      </c>
      <c r="E40" t="s">
        <v>120</v>
      </c>
      <c r="F40" s="2">
        <v>0</v>
      </c>
      <c r="G40">
        <f t="shared" si="0"/>
        <v>10</v>
      </c>
      <c r="H40">
        <v>0</v>
      </c>
      <c r="I40" s="2">
        <f t="shared" si="1"/>
        <v>0</v>
      </c>
      <c r="J40" t="s">
        <v>24</v>
      </c>
    </row>
    <row r="41" spans="1:12">
      <c r="A41">
        <v>40</v>
      </c>
      <c r="B41" t="s">
        <v>121</v>
      </c>
      <c r="C41" t="s">
        <v>56</v>
      </c>
      <c r="D41">
        <v>1</v>
      </c>
      <c r="E41" t="s">
        <v>122</v>
      </c>
      <c r="F41" s="2">
        <v>0</v>
      </c>
      <c r="G41">
        <f t="shared" si="0"/>
        <v>10</v>
      </c>
      <c r="H41">
        <v>0</v>
      </c>
      <c r="I41" s="2">
        <f t="shared" si="1"/>
        <v>0</v>
      </c>
      <c r="J41" t="s">
        <v>24</v>
      </c>
    </row>
    <row r="42" spans="1:12">
      <c r="A42">
        <v>41</v>
      </c>
      <c r="B42" t="s">
        <v>123</v>
      </c>
      <c r="C42" t="s">
        <v>36</v>
      </c>
      <c r="D42">
        <v>2</v>
      </c>
      <c r="E42" t="s">
        <v>111</v>
      </c>
      <c r="F42" s="2">
        <v>0</v>
      </c>
      <c r="G42">
        <f t="shared" si="0"/>
        <v>20</v>
      </c>
      <c r="H42">
        <v>0</v>
      </c>
      <c r="I42" s="2">
        <f t="shared" si="1"/>
        <v>0</v>
      </c>
      <c r="J42" t="s">
        <v>116</v>
      </c>
    </row>
    <row r="43" spans="1:12">
      <c r="A43">
        <v>42</v>
      </c>
      <c r="B43" t="s">
        <v>124</v>
      </c>
      <c r="C43" t="s">
        <v>125</v>
      </c>
      <c r="D43">
        <v>1</v>
      </c>
      <c r="E43" t="s">
        <v>126</v>
      </c>
      <c r="F43" s="2">
        <v>2.33</v>
      </c>
      <c r="G43">
        <f t="shared" si="0"/>
        <v>10</v>
      </c>
      <c r="H43">
        <v>1</v>
      </c>
      <c r="I43" s="3">
        <f t="shared" si="1"/>
        <v>2.33</v>
      </c>
      <c r="J43" s="1" t="s">
        <v>138</v>
      </c>
    </row>
    <row r="44" spans="1:12">
      <c r="A44">
        <v>43</v>
      </c>
      <c r="B44" t="s">
        <v>127</v>
      </c>
      <c r="C44" t="s">
        <v>36</v>
      </c>
      <c r="D44">
        <v>1</v>
      </c>
      <c r="E44" t="s">
        <v>128</v>
      </c>
      <c r="F44" s="2">
        <v>3.5999999999999997E-2</v>
      </c>
      <c r="G44">
        <f t="shared" si="0"/>
        <v>10</v>
      </c>
      <c r="H44">
        <v>0</v>
      </c>
      <c r="I44" s="2">
        <f t="shared" si="1"/>
        <v>0</v>
      </c>
      <c r="J44" t="s">
        <v>24</v>
      </c>
    </row>
    <row r="45" spans="1:12">
      <c r="A45">
        <v>44</v>
      </c>
      <c r="B45" t="s">
        <v>129</v>
      </c>
      <c r="C45" t="s">
        <v>56</v>
      </c>
      <c r="D45">
        <v>1</v>
      </c>
      <c r="E45" t="s">
        <v>166</v>
      </c>
      <c r="F45" s="2">
        <v>0</v>
      </c>
      <c r="G45">
        <f t="shared" si="0"/>
        <v>10</v>
      </c>
      <c r="H45">
        <v>0</v>
      </c>
      <c r="I45" s="2">
        <f t="shared" si="1"/>
        <v>0</v>
      </c>
      <c r="J45" t="s">
        <v>24</v>
      </c>
    </row>
    <row r="46" spans="1:12">
      <c r="A46">
        <v>45</v>
      </c>
      <c r="B46" t="s">
        <v>130</v>
      </c>
      <c r="C46" t="s">
        <v>46</v>
      </c>
      <c r="D46">
        <v>1</v>
      </c>
      <c r="E46" t="s">
        <v>131</v>
      </c>
      <c r="F46" s="2">
        <v>0.69899999999999995</v>
      </c>
      <c r="G46">
        <f t="shared" si="0"/>
        <v>10</v>
      </c>
      <c r="H46">
        <v>10</v>
      </c>
      <c r="I46" s="3">
        <f t="shared" si="1"/>
        <v>6.9899999999999993</v>
      </c>
      <c r="J46" s="1" t="s">
        <v>139</v>
      </c>
    </row>
    <row r="47" spans="1:12">
      <c r="A47">
        <v>46</v>
      </c>
      <c r="B47" t="s">
        <v>148</v>
      </c>
      <c r="C47" t="s">
        <v>149</v>
      </c>
      <c r="D47">
        <v>1</v>
      </c>
      <c r="F47" s="2">
        <v>2.98</v>
      </c>
      <c r="G47">
        <f t="shared" si="0"/>
        <v>10</v>
      </c>
      <c r="H47">
        <v>2</v>
      </c>
      <c r="I47" s="2">
        <f t="shared" si="1"/>
        <v>5.96</v>
      </c>
      <c r="J47" t="s">
        <v>154</v>
      </c>
    </row>
    <row r="48" spans="1:12">
      <c r="A48">
        <v>47</v>
      </c>
      <c r="B48" t="s">
        <v>150</v>
      </c>
      <c r="C48" t="s">
        <v>151</v>
      </c>
      <c r="D48">
        <v>2</v>
      </c>
      <c r="F48" s="2">
        <v>2.98</v>
      </c>
      <c r="G48">
        <f t="shared" si="0"/>
        <v>20</v>
      </c>
      <c r="H48">
        <v>2</v>
      </c>
      <c r="I48" s="2">
        <f t="shared" si="1"/>
        <v>5.96</v>
      </c>
      <c r="J48" t="s">
        <v>154</v>
      </c>
    </row>
    <row r="49" spans="1:10">
      <c r="A49">
        <v>48</v>
      </c>
      <c r="B49" t="s">
        <v>152</v>
      </c>
      <c r="C49" t="s">
        <v>153</v>
      </c>
      <c r="D49">
        <v>1</v>
      </c>
      <c r="F49" s="2">
        <v>2.98</v>
      </c>
      <c r="G49">
        <f t="shared" si="0"/>
        <v>10</v>
      </c>
      <c r="H49">
        <v>1</v>
      </c>
      <c r="I49" s="2">
        <f t="shared" ref="I49" si="2">F49*H49</f>
        <v>2.98</v>
      </c>
      <c r="J49" s="1" t="s">
        <v>154</v>
      </c>
    </row>
    <row r="51" spans="1:10">
      <c r="I51" s="2">
        <f>SUM(I2:I48)</f>
        <v>424.05099999999993</v>
      </c>
    </row>
    <row r="52" spans="1:10">
      <c r="I52" s="2">
        <f>I51-I8</f>
        <v>307.59099999999995</v>
      </c>
    </row>
  </sheetData>
  <hyperlinks>
    <hyperlink ref="J30" r:id="rId1" display="https://www.mouser.at/ProductDetail/onsemi/NTR4003NT1G?qs=CBDP9nzV7kme%2Fyh64xROOQ%3D%3D"/>
    <hyperlink ref="J31" r:id="rId2" display="https://www.mouser.at/ProductDetail/STMicroelectronics/LED5000PHR?qs=MSnG1hQWQLXEtGGcTXnZpA%3D%3D"/>
    <hyperlink ref="J32" r:id="rId3" display="https://www.mouser.at/ProductDetail/Microchip-Technology/MCP9700T-E-LT?qs=RnzODY3cU8tW7jSxAPzBuw%3D%3D"/>
    <hyperlink ref="J37" r:id="rId4" display="https://www.mouser.at/ProductDetail/Texas-Instruments/ISO7742FTBDWRQ1?qs=efUn273yAhcm4v0l5sVOsQ%3D%3D"/>
    <hyperlink ref="J39" r:id="rId5" display="https://www.mouser.at/ProductDetail/Micro-Commercial-Components-MCC/MBR0520-TP?qs=Oupk%2FUD005gN%2Fsy5ULAgCw%3D%3D"/>
    <hyperlink ref="J43" r:id="rId6" display="https://www.mouser.at/ProductDetail/Texas-Instruments/SN65LBC176QDRQ1?qs=UnBokwpwLz%2F%2FuNS0W0w55g%3D%3D"/>
    <hyperlink ref="J46" r:id="rId7" display="https://www.mouser.at/ProductDetail/Texas-Instruments/TPS76350DBVT?qs=8yeEWhuAOtP%2FFGo0oRuSfA%3D%3D"/>
    <hyperlink ref="J9" r:id="rId8"/>
    <hyperlink ref="J10" r:id="rId9"/>
    <hyperlink ref="K10" r:id="rId10" display="https://www.mouser.at/ProductDetail/Nexperia/BZT52-B68J?qs=W0yvOO0ixfHDugOwJJQdtw%3D%3D"/>
    <hyperlink ref="J17" r:id="rId11"/>
    <hyperlink ref="J25" r:id="rId12"/>
    <hyperlink ref="J26" r:id="rId13"/>
    <hyperlink ref="J49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Baischer Lukas</dc:creator>
  <cp:lastModifiedBy>Lukas Baischer</cp:lastModifiedBy>
  <dcterms:created xsi:type="dcterms:W3CDTF">2025-10-14T13:23:37Z</dcterms:created>
  <dcterms:modified xsi:type="dcterms:W3CDTF">2025-12-10T19:45:01Z</dcterms:modified>
</cp:coreProperties>
</file>